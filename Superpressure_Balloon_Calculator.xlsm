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thunderbird\home\pclark\Documents\Balloons\"/>
    </mc:Choice>
  </mc:AlternateContent>
  <bookViews>
    <workbookView xWindow="0" yWindow="0" windowWidth="28800" windowHeight="14310"/>
  </bookViews>
  <sheets>
    <sheet name="Mylar Balloon" sheetId="1" r:id="rId1"/>
    <sheet name="Gas" sheetId="2" r:id="rId2"/>
    <sheet name="Constants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C33" i="1" s="1"/>
  <c r="C31" i="1"/>
  <c r="C30" i="1"/>
  <c r="C28" i="1"/>
  <c r="C25" i="1"/>
  <c r="C17" i="1" l="1"/>
  <c r="C16" i="1"/>
  <c r="C22" i="1" s="1"/>
  <c r="C34" i="1" s="1"/>
  <c r="C36" i="1" l="1"/>
  <c r="C18" i="1"/>
  <c r="C19" i="1" l="1"/>
  <c r="C49" i="1"/>
  <c r="C37" i="1"/>
  <c r="C39" i="1"/>
  <c r="C40" i="1"/>
  <c r="C44" i="1"/>
  <c r="C41" i="1"/>
  <c r="C38" i="1"/>
  <c r="C35" i="1" l="1"/>
  <c r="C45" i="1"/>
  <c r="C46" i="1" s="1"/>
  <c r="C47" i="1" s="1"/>
  <c r="C48" i="1" s="1"/>
  <c r="C42" i="1"/>
  <c r="C43" i="1" s="1"/>
</calcChain>
</file>

<file path=xl/sharedStrings.xml><?xml version="1.0" encoding="utf-8"?>
<sst xmlns="http://schemas.openxmlformats.org/spreadsheetml/2006/main" count="107" uniqueCount="81">
  <si>
    <t>Based extensively on the work done by:</t>
  </si>
  <si>
    <t>Membrane Density</t>
  </si>
  <si>
    <t xml:space="preserve">Richard Meadows:  </t>
  </si>
  <si>
    <t>https://richardeoin.github.io/sp/</t>
  </si>
  <si>
    <t xml:space="preserve">Vincent E. Lally: </t>
  </si>
  <si>
    <t>https://opensky.ucar.edu/islandora/object/technotes%3A20</t>
  </si>
  <si>
    <t xml:space="preserve">With thanks to TomasTT7: </t>
  </si>
  <si>
    <t>https://github.com/TomasTT7/SuperpressureBalloonsNotebook/blob/master/Superpressure_Balloons.ipynb</t>
  </si>
  <si>
    <r>
      <t>g/m</t>
    </r>
    <r>
      <rPr>
        <vertAlign val="superscript"/>
        <sz val="11"/>
        <color theme="1"/>
        <rFont val="Calibri"/>
        <family val="2"/>
        <scheme val="minor"/>
      </rPr>
      <t>2</t>
    </r>
  </si>
  <si>
    <t>Membrane Thickness</t>
  </si>
  <si>
    <t>µm</t>
  </si>
  <si>
    <t>Mylar balloon volume:</t>
  </si>
  <si>
    <t>https://en.wikipedia.org/wiki/Mylar_balloon_(geometry)</t>
  </si>
  <si>
    <t>Balloon Diameter</t>
  </si>
  <si>
    <t>Typical value is 46</t>
  </si>
  <si>
    <t>Typical value is 42</t>
  </si>
  <si>
    <t>m</t>
  </si>
  <si>
    <t>Seam Width</t>
  </si>
  <si>
    <t>mm</t>
  </si>
  <si>
    <t>Enter the balloon diameter in m including the seam (e.g. 2.024 for a 2.0m balloon with 12mm seam)</t>
  </si>
  <si>
    <t>Extra Seams</t>
  </si>
  <si>
    <t>Balloon Mass</t>
  </si>
  <si>
    <t>g</t>
  </si>
  <si>
    <t>Balloon Radius (Deflated)</t>
  </si>
  <si>
    <t>Balloon Radius (Inflated)</t>
  </si>
  <si>
    <t>Balloon Volume</t>
  </si>
  <si>
    <t>L</t>
  </si>
  <si>
    <t>Payload Mass</t>
  </si>
  <si>
    <t>Free Lift</t>
  </si>
  <si>
    <t>Paul's Superpressure Balloon Calculator</t>
  </si>
  <si>
    <t>Gas</t>
  </si>
  <si>
    <t>He</t>
  </si>
  <si>
    <t>Gas Data</t>
  </si>
  <si>
    <t>Lift at STP</t>
  </si>
  <si>
    <t>Mass per mol (kg/mol)</t>
  </si>
  <si>
    <t>Molecular Mass (kg)</t>
  </si>
  <si>
    <r>
      <t>R</t>
    </r>
    <r>
      <rPr>
        <vertAlign val="subscript"/>
        <sz val="11"/>
        <color theme="1"/>
        <rFont val="Calibri"/>
        <family val="2"/>
        <scheme val="minor"/>
      </rPr>
      <t>specific</t>
    </r>
    <r>
      <rPr>
        <sz val="11"/>
        <color theme="1"/>
        <rFont val="Calibri"/>
        <family val="2"/>
        <scheme val="minor"/>
      </rPr>
      <t xml:space="preserve"> (J/kgK)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</si>
  <si>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</si>
  <si>
    <t>Constants</t>
  </si>
  <si>
    <t>0C in K</t>
  </si>
  <si>
    <t>Acceleration due to Gravity</t>
  </si>
  <si>
    <t>Gas Constant</t>
  </si>
  <si>
    <t>Enter the number of extra full-length longitudinal seams (if any)</t>
  </si>
  <si>
    <t>Launch Altitude</t>
  </si>
  <si>
    <t>Model Atmospheric Temperature at Launch</t>
  </si>
  <si>
    <t>Actual Atmospheric Temperature at Launch</t>
  </si>
  <si>
    <t>Enter the model atmospheric temperature if an accurate reading is not available</t>
  </si>
  <si>
    <t>Actual Balloon Gas Temperature at Launch</t>
  </si>
  <si>
    <t>Model Atmospheric Pressure at Launch</t>
  </si>
  <si>
    <t>kPa</t>
  </si>
  <si>
    <t>Actual Atmospheric Pressure at Launch</t>
  </si>
  <si>
    <t>Enter the model atmospheric pressure if an accurate reading is not available</t>
  </si>
  <si>
    <t>Model Atmospheric Density at Launch</t>
  </si>
  <si>
    <t>Actual Atmospheric Density at Launch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</si>
  <si>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</si>
  <si>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Mass of Gas per mol</t>
  </si>
  <si>
    <t>kg/mol</t>
  </si>
  <si>
    <t>Balloon Gas Density at Launch</t>
  </si>
  <si>
    <t>Required Volume of Lift Gas</t>
  </si>
  <si>
    <t>%</t>
  </si>
  <si>
    <t>mol of Lift Gas</t>
  </si>
  <si>
    <t>mol</t>
  </si>
  <si>
    <t>Balloon % Full at Launch</t>
  </si>
  <si>
    <t>Float Altitude with Zero Stretch</t>
  </si>
  <si>
    <t>Temperature at that Altitude</t>
  </si>
  <si>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</t>
    </r>
  </si>
  <si>
    <t>Superpressure</t>
  </si>
  <si>
    <t>Atmospheric Pressure at that Altitude</t>
  </si>
  <si>
    <t>Balloon Gas Pressure at that Altitude</t>
  </si>
  <si>
    <t>Zero Pressure Altitude</t>
  </si>
  <si>
    <t>Total Balloon Mass (Including Gas)</t>
  </si>
  <si>
    <t>Typical Supertemperature at that Altitude</t>
  </si>
  <si>
    <t>Balloon Gas Pressure Becomes</t>
  </si>
  <si>
    <t>Superpressure Becomes</t>
  </si>
  <si>
    <t>Maximum Circumferential Stress</t>
  </si>
  <si>
    <t>MPa</t>
  </si>
  <si>
    <t>Maximum Longitudinal Stress</t>
  </si>
  <si>
    <t>Estimated Ascent Rate</t>
  </si>
  <si>
    <t>m/s</t>
  </si>
  <si>
    <t>Total Lift Required at Launch</t>
  </si>
  <si>
    <t>This value needs to be well below the ultimate tensile strength for the membrane and ideally below the elastic limit (typically 35 MPa)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</si>
</sst>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0.000000E+00"/>
    <numFmt numFmtId="167" formatCode="0.0000E+00"/>
    <numFmt numFmtId="168" formatCode="0.0000000"/>
    <numFmt numFmtId="169" formatCode="0.0000"/>
    <numFmt numFmtId="170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49" fontId="0" fillId="0" borderId="0" xfId="0" applyNumberFormat="1"/>
    <xf numFmtId="49" fontId="0" fillId="0" borderId="0" xfId="0" applyNumberFormat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Protection="1"/>
    <xf numFmtId="49" fontId="0" fillId="0" borderId="0" xfId="0" applyNumberFormat="1" applyAlignment="1" applyProtection="1">
      <alignment horizontal="center" vertical="center"/>
    </xf>
    <xf numFmtId="0" fontId="0" fillId="2" borderId="0" xfId="0" applyFill="1" applyAlignment="1" applyProtection="1">
      <alignment horizontal="right"/>
      <protection locked="0"/>
    </xf>
    <xf numFmtId="0" fontId="0" fillId="0" borderId="0" xfId="0" applyFont="1"/>
    <xf numFmtId="0" fontId="0" fillId="0" borderId="0" xfId="0" applyAlignment="1">
      <alignment horizontal="right" wrapText="1"/>
    </xf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168" fontId="0" fillId="0" borderId="0" xfId="0" applyNumberFormat="1"/>
    <xf numFmtId="164" fontId="0" fillId="2" borderId="0" xfId="0" applyNumberFormat="1" applyFill="1" applyAlignment="1" applyProtection="1">
      <alignment horizontal="right"/>
      <protection locked="0"/>
    </xf>
    <xf numFmtId="1" fontId="0" fillId="2" borderId="0" xfId="0" applyNumberFormat="1" applyFill="1" applyAlignment="1" applyProtection="1">
      <alignment horizontal="right"/>
      <protection locked="0"/>
    </xf>
    <xf numFmtId="165" fontId="0" fillId="2" borderId="0" xfId="0" applyNumberFormat="1" applyFill="1" applyAlignment="1" applyProtection="1">
      <alignment horizontal="right"/>
      <protection locked="0"/>
    </xf>
    <xf numFmtId="1" fontId="0" fillId="2" borderId="0" xfId="0" applyNumberFormat="1" applyFill="1" applyProtection="1">
      <protection locked="0"/>
    </xf>
    <xf numFmtId="1" fontId="0" fillId="0" borderId="0" xfId="0" applyNumberFormat="1" applyFill="1" applyProtection="1"/>
    <xf numFmtId="164" fontId="0" fillId="0" borderId="0" xfId="0" applyNumberFormat="1" applyProtection="1"/>
    <xf numFmtId="164" fontId="0" fillId="2" borderId="0" xfId="0" applyNumberFormat="1" applyFill="1" applyProtection="1">
      <protection locked="0"/>
    </xf>
    <xf numFmtId="0" fontId="0" fillId="0" borderId="0" xfId="0" applyAlignment="1" applyProtection="1">
      <alignment horizontal="left"/>
    </xf>
    <xf numFmtId="165" fontId="0" fillId="0" borderId="0" xfId="0" applyNumberFormat="1" applyProtection="1"/>
    <xf numFmtId="166" fontId="0" fillId="0" borderId="0" xfId="0" applyNumberFormat="1" applyProtection="1"/>
    <xf numFmtId="169" fontId="0" fillId="0" borderId="0" xfId="0" applyNumberFormat="1" applyProtection="1"/>
    <xf numFmtId="0" fontId="2" fillId="0" borderId="0" xfId="0" applyFont="1" applyProtection="1"/>
    <xf numFmtId="0" fontId="1" fillId="0" borderId="0" xfId="0" applyFont="1" applyProtection="1"/>
    <xf numFmtId="0" fontId="3" fillId="0" borderId="0" xfId="1" applyProtection="1"/>
    <xf numFmtId="49" fontId="0" fillId="0" borderId="0" xfId="0" applyNumberFormat="1" applyProtection="1"/>
    <xf numFmtId="49" fontId="0" fillId="0" borderId="0" xfId="0" applyNumberFormat="1" applyAlignment="1" applyProtection="1">
      <alignment horizontal="center"/>
    </xf>
    <xf numFmtId="49" fontId="5" fillId="0" borderId="0" xfId="0" applyNumberFormat="1" applyFont="1" applyAlignment="1" applyProtection="1">
      <alignment horizontal="center"/>
    </xf>
    <xf numFmtId="170" fontId="0" fillId="0" borderId="0" xfId="0" applyNumberFormat="1" applyProtection="1"/>
    <xf numFmtId="2" fontId="0" fillId="0" borderId="0" xfId="0" applyNumberFormat="1" applyProtection="1"/>
    <xf numFmtId="1" fontId="0" fillId="3" borderId="0" xfId="0" applyNumberFormat="1" applyFill="1" applyProtection="1"/>
    <xf numFmtId="2" fontId="0" fillId="3" borderId="0" xfId="0" applyNumberFormat="1" applyFill="1" applyProtection="1"/>
  </cellXfs>
  <cellStyles count="2">
    <cellStyle name="Hyperlink" xfId="1" builtinId="8"/>
    <cellStyle name="Normal" xfId="0" builtinId="0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24</xdr:row>
      <xdr:rowOff>61913</xdr:rowOff>
    </xdr:from>
    <xdr:to>
      <xdr:col>3</xdr:col>
      <xdr:colOff>233363</xdr:colOff>
      <xdr:row>25</xdr:row>
      <xdr:rowOff>147638</xdr:rowOff>
    </xdr:to>
    <xdr:sp macro="" textlink="">
      <xdr:nvSpPr>
        <xdr:cNvPr id="5" name="U-Turn Arrow 4"/>
        <xdr:cNvSpPr/>
      </xdr:nvSpPr>
      <xdr:spPr>
        <a:xfrm rot="5400000">
          <a:off x="4248150" y="2762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27</xdr:row>
      <xdr:rowOff>66676</xdr:rowOff>
    </xdr:from>
    <xdr:to>
      <xdr:col>3</xdr:col>
      <xdr:colOff>247650</xdr:colOff>
      <xdr:row>28</xdr:row>
      <xdr:rowOff>152401</xdr:rowOff>
    </xdr:to>
    <xdr:sp macro="" textlink="">
      <xdr:nvSpPr>
        <xdr:cNvPr id="6" name="U-Turn Arrow 5"/>
        <xdr:cNvSpPr/>
      </xdr:nvSpPr>
      <xdr:spPr>
        <a:xfrm rot="5400000">
          <a:off x="4262437" y="3338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24</xdr:row>
      <xdr:rowOff>66675</xdr:rowOff>
    </xdr:from>
    <xdr:to>
      <xdr:col>3</xdr:col>
      <xdr:colOff>228600</xdr:colOff>
      <xdr:row>26</xdr:row>
      <xdr:rowOff>161924</xdr:rowOff>
    </xdr:to>
    <xdr:sp macro="" textlink="">
      <xdr:nvSpPr>
        <xdr:cNvPr id="7" name="U-Turn Arrow 6"/>
        <xdr:cNvSpPr/>
      </xdr:nvSpPr>
      <xdr:spPr>
        <a:xfrm rot="5400000">
          <a:off x="4143375" y="2867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TomasTT7/SuperpressureBalloonsNotebook/blob/master/Superpressure_Balloons.ipynb" TargetMode="External"/><Relationship Id="rId2" Type="http://schemas.openxmlformats.org/officeDocument/2006/relationships/hyperlink" Target="https://opensky.ucar.edu/islandora/object/technotes%3A20" TargetMode="External"/><Relationship Id="rId1" Type="http://schemas.openxmlformats.org/officeDocument/2006/relationships/hyperlink" Target="https://richardeoin.github.io/sp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en.wikipedia.org/wiki/Mylar_balloon_(geometry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0"/>
  <sheetViews>
    <sheetView tabSelected="1" workbookViewId="0">
      <selection activeCell="A2" sqref="A2"/>
    </sheetView>
  </sheetViews>
  <sheetFormatPr defaultRowHeight="15" x14ac:dyDescent="0.25"/>
  <cols>
    <col min="1" max="1" width="39.7109375" customWidth="1"/>
    <col min="3" max="3" width="12.28515625" bestFit="1" customWidth="1"/>
    <col min="4" max="4" width="4.28515625" customWidth="1"/>
    <col min="5" max="5" width="119.85546875" customWidth="1"/>
  </cols>
  <sheetData>
    <row r="1" spans="1:5" x14ac:dyDescent="0.25">
      <c r="A1" s="26" t="s">
        <v>29</v>
      </c>
      <c r="B1" s="6"/>
      <c r="C1" s="6"/>
      <c r="D1" s="6"/>
      <c r="E1" s="6"/>
    </row>
    <row r="2" spans="1:5" x14ac:dyDescent="0.25">
      <c r="A2" s="27"/>
      <c r="B2" s="6"/>
      <c r="C2" s="6"/>
      <c r="D2" s="6"/>
      <c r="E2" s="6"/>
    </row>
    <row r="3" spans="1:5" x14ac:dyDescent="0.25">
      <c r="A3" s="27" t="s">
        <v>0</v>
      </c>
      <c r="B3" s="6"/>
      <c r="C3" s="6"/>
      <c r="D3" s="6"/>
      <c r="E3" s="6"/>
    </row>
    <row r="4" spans="1:5" x14ac:dyDescent="0.25">
      <c r="A4" s="27" t="s">
        <v>2</v>
      </c>
      <c r="B4" s="28" t="s">
        <v>3</v>
      </c>
      <c r="C4" s="6"/>
      <c r="D4" s="6"/>
      <c r="E4" s="6"/>
    </row>
    <row r="5" spans="1:5" x14ac:dyDescent="0.25">
      <c r="A5" s="27" t="s">
        <v>4</v>
      </c>
      <c r="B5" s="28" t="s">
        <v>5</v>
      </c>
      <c r="C5" s="6"/>
      <c r="D5" s="6"/>
      <c r="E5" s="6"/>
    </row>
    <row r="6" spans="1:5" x14ac:dyDescent="0.25">
      <c r="A6" s="27"/>
      <c r="B6" s="6"/>
      <c r="C6" s="6"/>
      <c r="D6" s="6"/>
      <c r="E6" s="6"/>
    </row>
    <row r="7" spans="1:5" x14ac:dyDescent="0.25">
      <c r="A7" s="27" t="s">
        <v>6</v>
      </c>
      <c r="B7" s="28" t="s">
        <v>7</v>
      </c>
      <c r="C7" s="6"/>
      <c r="D7" s="6"/>
      <c r="E7" s="6"/>
    </row>
    <row r="8" spans="1:5" x14ac:dyDescent="0.25">
      <c r="A8" s="27" t="s">
        <v>11</v>
      </c>
      <c r="B8" s="28" t="s">
        <v>12</v>
      </c>
      <c r="C8" s="6"/>
      <c r="D8" s="6"/>
      <c r="E8" s="6"/>
    </row>
    <row r="9" spans="1:5" x14ac:dyDescent="0.25">
      <c r="A9" s="6"/>
      <c r="B9" s="6"/>
      <c r="C9" s="6"/>
      <c r="D9" s="6"/>
      <c r="E9" s="6"/>
    </row>
    <row r="10" spans="1:5" x14ac:dyDescent="0.25">
      <c r="A10" s="6"/>
      <c r="B10" s="6"/>
      <c r="C10" s="6"/>
      <c r="D10" s="6"/>
      <c r="E10" s="6"/>
    </row>
    <row r="11" spans="1:5" ht="17.25" x14ac:dyDescent="0.25">
      <c r="A11" s="29" t="s">
        <v>1</v>
      </c>
      <c r="B11" s="30" t="s">
        <v>8</v>
      </c>
      <c r="C11" s="15">
        <v>46</v>
      </c>
      <c r="D11" s="6"/>
      <c r="E11" s="6" t="s">
        <v>14</v>
      </c>
    </row>
    <row r="12" spans="1:5" x14ac:dyDescent="0.25">
      <c r="A12" s="29" t="s">
        <v>9</v>
      </c>
      <c r="B12" s="31" t="s">
        <v>10</v>
      </c>
      <c r="C12" s="15">
        <v>42</v>
      </c>
      <c r="D12" s="6"/>
      <c r="E12" s="6" t="s">
        <v>15</v>
      </c>
    </row>
    <row r="13" spans="1:5" x14ac:dyDescent="0.25">
      <c r="A13" s="29" t="s">
        <v>13</v>
      </c>
      <c r="B13" s="30" t="s">
        <v>16</v>
      </c>
      <c r="C13" s="17">
        <v>2.024</v>
      </c>
      <c r="D13" s="6"/>
      <c r="E13" s="6" t="s">
        <v>19</v>
      </c>
    </row>
    <row r="14" spans="1:5" x14ac:dyDescent="0.25">
      <c r="A14" s="29" t="s">
        <v>17</v>
      </c>
      <c r="B14" s="30" t="s">
        <v>18</v>
      </c>
      <c r="C14" s="16">
        <v>12</v>
      </c>
      <c r="D14" s="6"/>
      <c r="E14" s="6"/>
    </row>
    <row r="15" spans="1:5" x14ac:dyDescent="0.25">
      <c r="A15" s="29" t="s">
        <v>20</v>
      </c>
      <c r="B15" s="30"/>
      <c r="C15" s="16">
        <v>2</v>
      </c>
      <c r="D15" s="6"/>
      <c r="E15" s="6" t="s">
        <v>42</v>
      </c>
    </row>
    <row r="16" spans="1:5" x14ac:dyDescent="0.25">
      <c r="A16" s="29" t="s">
        <v>21</v>
      </c>
      <c r="B16" s="30" t="s">
        <v>22</v>
      </c>
      <c r="C16" s="20">
        <f>C11*((2 * PI() * POWER((C13/2),2)) + (C15 * 2 * C13 * C14 / 1000))</f>
        <v>300.47377252886196</v>
      </c>
      <c r="D16" s="6"/>
      <c r="E16" s="6"/>
    </row>
    <row r="17" spans="1:5" x14ac:dyDescent="0.25">
      <c r="A17" s="29" t="s">
        <v>23</v>
      </c>
      <c r="B17" s="30" t="s">
        <v>16</v>
      </c>
      <c r="C17" s="23">
        <f>(C13/2) - (C14/1000)</f>
        <v>1</v>
      </c>
      <c r="D17" s="6"/>
      <c r="E17" s="6"/>
    </row>
    <row r="18" spans="1:5" x14ac:dyDescent="0.25">
      <c r="A18" s="29" t="s">
        <v>24</v>
      </c>
      <c r="B18" s="30" t="s">
        <v>16</v>
      </c>
      <c r="C18" s="23">
        <f>C17/1.311</f>
        <v>0.76277650648360029</v>
      </c>
      <c r="D18" s="6"/>
      <c r="E18" s="6"/>
    </row>
    <row r="19" spans="1:5" x14ac:dyDescent="0.25">
      <c r="A19" s="29" t="s">
        <v>25</v>
      </c>
      <c r="B19" s="30" t="s">
        <v>26</v>
      </c>
      <c r="C19" s="20">
        <f>1000 * PI() * C17 * POWER(C18,2) * 2 / 3</f>
        <v>1218.5777112126955</v>
      </c>
      <c r="D19" s="6"/>
      <c r="E19" s="6"/>
    </row>
    <row r="20" spans="1:5" x14ac:dyDescent="0.25">
      <c r="A20" s="29" t="s">
        <v>27</v>
      </c>
      <c r="B20" s="30" t="s">
        <v>22</v>
      </c>
      <c r="C20" s="15">
        <v>48</v>
      </c>
      <c r="D20" s="6"/>
      <c r="E20" s="6"/>
    </row>
    <row r="21" spans="1:5" x14ac:dyDescent="0.25">
      <c r="A21" s="29" t="s">
        <v>28</v>
      </c>
      <c r="B21" s="30" t="s">
        <v>22</v>
      </c>
      <c r="C21" s="15">
        <v>30</v>
      </c>
      <c r="D21" s="6"/>
      <c r="E21" s="6"/>
    </row>
    <row r="22" spans="1:5" x14ac:dyDescent="0.25">
      <c r="A22" s="29" t="s">
        <v>79</v>
      </c>
      <c r="B22" s="30" t="s">
        <v>22</v>
      </c>
      <c r="C22" s="20">
        <f>C16+C20+C21</f>
        <v>378.47377252886196</v>
      </c>
      <c r="D22" s="6"/>
      <c r="E22" s="6"/>
    </row>
    <row r="23" spans="1:5" x14ac:dyDescent="0.25">
      <c r="A23" s="6" t="s">
        <v>30</v>
      </c>
      <c r="B23" s="7"/>
      <c r="C23" s="8" t="s">
        <v>31</v>
      </c>
      <c r="D23" s="6"/>
      <c r="E23" s="6"/>
    </row>
    <row r="24" spans="1:5" x14ac:dyDescent="0.25">
      <c r="A24" s="6" t="s">
        <v>43</v>
      </c>
      <c r="B24" s="7" t="s">
        <v>16</v>
      </c>
      <c r="C24" s="18">
        <v>0</v>
      </c>
      <c r="D24" s="19"/>
      <c r="E24" s="6"/>
    </row>
    <row r="25" spans="1:5" x14ac:dyDescent="0.25">
      <c r="A25" s="6" t="s">
        <v>44</v>
      </c>
      <c r="B25" s="7" t="s">
        <v>65</v>
      </c>
      <c r="C25" s="20">
        <f>atmospheric_temperature(C24)</f>
        <v>15.04</v>
      </c>
      <c r="D25" s="20"/>
      <c r="E25" s="6"/>
    </row>
    <row r="26" spans="1:5" x14ac:dyDescent="0.25">
      <c r="A26" s="6" t="s">
        <v>45</v>
      </c>
      <c r="B26" s="7" t="s">
        <v>65</v>
      </c>
      <c r="C26" s="21">
        <v>15</v>
      </c>
      <c r="D26" s="20"/>
      <c r="E26" s="22" t="s">
        <v>46</v>
      </c>
    </row>
    <row r="27" spans="1:5" x14ac:dyDescent="0.25">
      <c r="A27" s="6" t="s">
        <v>47</v>
      </c>
      <c r="B27" s="7" t="s">
        <v>65</v>
      </c>
      <c r="C27" s="21">
        <v>15</v>
      </c>
      <c r="D27" s="6"/>
      <c r="E27" s="22" t="s">
        <v>46</v>
      </c>
    </row>
    <row r="28" spans="1:5" x14ac:dyDescent="0.25">
      <c r="A28" s="6" t="s">
        <v>48</v>
      </c>
      <c r="B28" s="7" t="s">
        <v>49</v>
      </c>
      <c r="C28" s="20">
        <f>Atmospheric_Pressure(C24)</f>
        <v>101.40093090454886</v>
      </c>
      <c r="D28" s="20"/>
      <c r="E28" s="6"/>
    </row>
    <row r="29" spans="1:5" x14ac:dyDescent="0.25">
      <c r="A29" s="6" t="s">
        <v>50</v>
      </c>
      <c r="B29" s="7" t="s">
        <v>49</v>
      </c>
      <c r="C29" s="21">
        <v>101.4</v>
      </c>
      <c r="D29" s="6"/>
      <c r="E29" s="22" t="s">
        <v>51</v>
      </c>
    </row>
    <row r="30" spans="1:5" ht="17.25" x14ac:dyDescent="0.25">
      <c r="A30" s="6" t="s">
        <v>52</v>
      </c>
      <c r="B30" s="7" t="s">
        <v>54</v>
      </c>
      <c r="C30" s="23">
        <f>Atmospheric_Density(C24)</f>
        <v>1.2266137874109702</v>
      </c>
      <c r="D30" s="23"/>
      <c r="E30" s="6"/>
    </row>
    <row r="31" spans="1:5" ht="17.25" x14ac:dyDescent="0.25">
      <c r="A31" s="6" t="s">
        <v>53</v>
      </c>
      <c r="B31" s="7" t="s">
        <v>54</v>
      </c>
      <c r="C31" s="23">
        <f>C29/(0.2869*(C26+Constants!B3))</f>
        <v>1.2267728288933797</v>
      </c>
      <c r="D31" s="6"/>
      <c r="E31" s="6"/>
    </row>
    <row r="32" spans="1:5" x14ac:dyDescent="0.25">
      <c r="A32" s="6" t="s">
        <v>55</v>
      </c>
      <c r="B32" s="7" t="s">
        <v>56</v>
      </c>
      <c r="C32" s="24">
        <f>VLOOKUP(C23,Gas!A5:E6,3,FALSE)</f>
        <v>4.0026020000000001E-3</v>
      </c>
      <c r="D32" s="6"/>
      <c r="E32" s="6"/>
    </row>
    <row r="33" spans="1:5" ht="17.25" x14ac:dyDescent="0.25">
      <c r="A33" s="6" t="s">
        <v>57</v>
      </c>
      <c r="B33" s="7" t="s">
        <v>54</v>
      </c>
      <c r="C33" s="25">
        <f>((C29)*1000)*C32/(Constants!B5*(C27+Constants!B3))</f>
        <v>0.16943497655545536</v>
      </c>
      <c r="D33" s="6"/>
      <c r="E33" s="6"/>
    </row>
    <row r="34" spans="1:5" x14ac:dyDescent="0.25">
      <c r="A34" s="29" t="s">
        <v>58</v>
      </c>
      <c r="B34" s="30" t="s">
        <v>26</v>
      </c>
      <c r="C34" s="20">
        <f>1000*(C22/1000)/(C31-C33)</f>
        <v>357.94970518836783</v>
      </c>
      <c r="D34" s="6"/>
      <c r="E34" s="6"/>
    </row>
    <row r="35" spans="1:5" x14ac:dyDescent="0.25">
      <c r="A35" s="29" t="s">
        <v>62</v>
      </c>
      <c r="B35" s="30" t="s">
        <v>59</v>
      </c>
      <c r="C35" s="32">
        <f>C34/C19</f>
        <v>0.29374384735147174</v>
      </c>
      <c r="D35" s="6"/>
      <c r="E35" s="6"/>
    </row>
    <row r="36" spans="1:5" x14ac:dyDescent="0.25">
      <c r="A36" s="29" t="s">
        <v>60</v>
      </c>
      <c r="B36" s="30" t="s">
        <v>61</v>
      </c>
      <c r="C36" s="33">
        <f>(C29*C34)/(Constants!B5 * (C27+Constants!B3))</f>
        <v>15.152443312281179</v>
      </c>
      <c r="D36" s="6"/>
      <c r="E36" s="6"/>
    </row>
    <row r="37" spans="1:5" x14ac:dyDescent="0.25">
      <c r="A37" s="29" t="s">
        <v>70</v>
      </c>
      <c r="B37" s="30" t="s">
        <v>22</v>
      </c>
      <c r="C37" s="20">
        <f>C16+C20+(C36*C32*1000)</f>
        <v>409.12297243548522</v>
      </c>
      <c r="D37" s="6"/>
      <c r="E37" s="6"/>
    </row>
    <row r="38" spans="1:5" x14ac:dyDescent="0.25">
      <c r="A38" s="29" t="s">
        <v>69</v>
      </c>
      <c r="B38" s="30" t="s">
        <v>16</v>
      </c>
      <c r="C38" s="19">
        <f>Zero_Pressure_Altitude(C36,(C16+C20),C32,C19)</f>
        <v>11091</v>
      </c>
      <c r="D38" s="6"/>
      <c r="E38" s="6"/>
    </row>
    <row r="39" spans="1:5" x14ac:dyDescent="0.25">
      <c r="A39" s="29" t="s">
        <v>63</v>
      </c>
      <c r="B39" s="30" t="s">
        <v>16</v>
      </c>
      <c r="C39" s="34">
        <f>Float_Altitude(C37,C19)</f>
        <v>11542</v>
      </c>
      <c r="D39" s="6"/>
      <c r="E39" s="6"/>
    </row>
    <row r="40" spans="1:5" x14ac:dyDescent="0.25">
      <c r="A40" s="29" t="s">
        <v>64</v>
      </c>
      <c r="B40" s="7" t="s">
        <v>65</v>
      </c>
      <c r="C40" s="20">
        <f>atmospheric_temperature(C39)</f>
        <v>-56.46</v>
      </c>
      <c r="D40" s="6"/>
      <c r="E40" s="6"/>
    </row>
    <row r="41" spans="1:5" x14ac:dyDescent="0.25">
      <c r="A41" s="29" t="s">
        <v>67</v>
      </c>
      <c r="B41" s="30" t="s">
        <v>49</v>
      </c>
      <c r="C41" s="33">
        <f>Atmospheric_Pressure(C39)</f>
        <v>20.864848476531712</v>
      </c>
      <c r="D41" s="6"/>
      <c r="E41" s="6"/>
    </row>
    <row r="42" spans="1:5" x14ac:dyDescent="0.25">
      <c r="A42" s="29" t="s">
        <v>68</v>
      </c>
      <c r="B42" s="30" t="s">
        <v>49</v>
      </c>
      <c r="C42" s="33">
        <f>C36*Constants!B5*(C40+Constants!B3)/C19</f>
        <v>22.397632915475864</v>
      </c>
      <c r="D42" s="6"/>
      <c r="E42" s="6"/>
    </row>
    <row r="43" spans="1:5" x14ac:dyDescent="0.25">
      <c r="A43" s="29" t="s">
        <v>66</v>
      </c>
      <c r="B43" s="30" t="s">
        <v>49</v>
      </c>
      <c r="C43" s="33">
        <f>C42-C41</f>
        <v>1.5327844389441516</v>
      </c>
      <c r="D43" s="6"/>
      <c r="E43" s="6"/>
    </row>
    <row r="44" spans="1:5" x14ac:dyDescent="0.25">
      <c r="A44" s="29" t="s">
        <v>71</v>
      </c>
      <c r="B44" s="7" t="s">
        <v>65</v>
      </c>
      <c r="C44" s="20">
        <f>Supertemperature(C39)</f>
        <v>14.965938103735999</v>
      </c>
      <c r="D44" s="6"/>
      <c r="E44" s="6"/>
    </row>
    <row r="45" spans="1:5" x14ac:dyDescent="0.25">
      <c r="A45" s="29" t="s">
        <v>72</v>
      </c>
      <c r="B45" s="30" t="s">
        <v>49</v>
      </c>
      <c r="C45" s="33">
        <f>C36*Constants!B5*(C40+Constants!B3+C44)/C19</f>
        <v>23.944907601051987</v>
      </c>
      <c r="D45" s="6"/>
      <c r="E45" s="6"/>
    </row>
    <row r="46" spans="1:5" x14ac:dyDescent="0.25">
      <c r="A46" s="29" t="s">
        <v>73</v>
      </c>
      <c r="B46" s="30" t="s">
        <v>49</v>
      </c>
      <c r="C46" s="33">
        <f>C45-C41</f>
        <v>3.0800591245202753</v>
      </c>
      <c r="D46" s="6"/>
      <c r="E46" s="6"/>
    </row>
    <row r="47" spans="1:5" x14ac:dyDescent="0.25">
      <c r="A47" s="29" t="s">
        <v>74</v>
      </c>
      <c r="B47" s="30" t="s">
        <v>75</v>
      </c>
      <c r="C47" s="35">
        <f>(C46*1000*C18/(2 * C12))</f>
        <v>27.969008794815618</v>
      </c>
      <c r="D47" s="6"/>
      <c r="E47" s="6" t="s">
        <v>80</v>
      </c>
    </row>
    <row r="48" spans="1:5" x14ac:dyDescent="0.25">
      <c r="A48" s="29" t="s">
        <v>76</v>
      </c>
      <c r="B48" s="30" t="s">
        <v>75</v>
      </c>
      <c r="C48" s="35">
        <f>C47* 0.599</f>
        <v>16.753436268094553</v>
      </c>
      <c r="D48" s="6"/>
      <c r="E48" s="6"/>
    </row>
    <row r="49" spans="1:5" x14ac:dyDescent="0.25">
      <c r="A49" s="29" t="s">
        <v>77</v>
      </c>
      <c r="B49" s="30" t="s">
        <v>78</v>
      </c>
      <c r="C49" s="35">
        <f>POWER((2 * (C21/1000) * Constants!B4 / (1.225 * 0.3 * 2 * POWER(C18,2))),0.5)</f>
        <v>1.1730127562331598</v>
      </c>
      <c r="D49" s="6"/>
      <c r="E49" s="6"/>
    </row>
    <row r="50" spans="1:5" x14ac:dyDescent="0.25">
      <c r="A50" s="2"/>
      <c r="B50" s="3"/>
      <c r="C50" s="13"/>
    </row>
  </sheetData>
  <sheetProtection sheet="1" objects="1" scenarios="1"/>
  <conditionalFormatting sqref="C35">
    <cfRule type="cellIs" dxfId="0" priority="1" operator="greaterThan">
      <formula>1</formula>
    </cfRule>
  </conditionalFormatting>
  <hyperlinks>
    <hyperlink ref="B4" r:id="rId1"/>
    <hyperlink ref="B5" r:id="rId2"/>
    <hyperlink ref="B7" r:id="rId3"/>
    <hyperlink ref="B8" r:id="rId4"/>
  </hyperlinks>
  <pageMargins left="0.7" right="0.7" top="0.75" bottom="0.75" header="0.3" footer="0.3"/>
  <pageSetup paperSize="9" orientation="portrait" horizontalDpi="1200" verticalDpi="1200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>
          <x14:formula1>
            <xm:f>Gas!$A$5:$A$6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"/>
  <sheetViews>
    <sheetView workbookViewId="0">
      <selection activeCell="D16" sqref="D16"/>
    </sheetView>
  </sheetViews>
  <sheetFormatPr defaultRowHeight="15" x14ac:dyDescent="0.25"/>
  <cols>
    <col min="1" max="1" width="12.7109375" customWidth="1"/>
    <col min="2" max="2" width="9.140625" customWidth="1"/>
    <col min="3" max="3" width="13.42578125" customWidth="1"/>
    <col min="4" max="4" width="13.140625" customWidth="1"/>
    <col min="5" max="5" width="9.42578125" customWidth="1"/>
  </cols>
  <sheetData>
    <row r="1" spans="1:5" x14ac:dyDescent="0.25">
      <c r="A1" s="1" t="s">
        <v>32</v>
      </c>
    </row>
    <row r="2" spans="1:5" x14ac:dyDescent="0.25">
      <c r="A2" s="1"/>
    </row>
    <row r="3" spans="1:5" ht="31.5" customHeight="1" x14ac:dyDescent="0.25">
      <c r="A3" s="9" t="s">
        <v>30</v>
      </c>
      <c r="B3" s="10" t="s">
        <v>33</v>
      </c>
      <c r="C3" s="10" t="s">
        <v>34</v>
      </c>
      <c r="D3" s="10" t="s">
        <v>35</v>
      </c>
      <c r="E3" s="10" t="s">
        <v>36</v>
      </c>
    </row>
    <row r="5" spans="1:5" x14ac:dyDescent="0.25">
      <c r="A5" s="2" t="s">
        <v>31</v>
      </c>
      <c r="B5" s="5">
        <v>1.046</v>
      </c>
      <c r="C5" s="11">
        <v>4.0026020000000001E-3</v>
      </c>
      <c r="D5" s="12">
        <v>6.6460000000000003E-27</v>
      </c>
      <c r="E5" s="13">
        <v>2077.2600000000002</v>
      </c>
    </row>
    <row r="6" spans="1:5" ht="18" x14ac:dyDescent="0.35">
      <c r="A6" t="s">
        <v>37</v>
      </c>
      <c r="B6" s="5">
        <v>1.135</v>
      </c>
      <c r="C6" s="11">
        <v>2.0158799999999998E-3</v>
      </c>
      <c r="D6" s="12">
        <v>3.3474E-27</v>
      </c>
      <c r="E6" s="13">
        <v>4124.4799999999996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"/>
  <sheetViews>
    <sheetView workbookViewId="0">
      <selection activeCell="A2" sqref="A2"/>
    </sheetView>
  </sheetViews>
  <sheetFormatPr defaultRowHeight="15" x14ac:dyDescent="0.25"/>
  <cols>
    <col min="1" max="1" width="30" customWidth="1"/>
    <col min="2" max="2" width="9.5703125" bestFit="1" customWidth="1"/>
  </cols>
  <sheetData>
    <row r="1" spans="1:2" x14ac:dyDescent="0.25">
      <c r="A1" s="1" t="s">
        <v>38</v>
      </c>
    </row>
    <row r="3" spans="1:2" x14ac:dyDescent="0.25">
      <c r="A3" t="s">
        <v>39</v>
      </c>
      <c r="B3" s="4">
        <v>273.10000000000002</v>
      </c>
    </row>
    <row r="4" spans="1:2" x14ac:dyDescent="0.25">
      <c r="A4" t="s">
        <v>40</v>
      </c>
      <c r="B4" s="5">
        <v>9.8070000000000004</v>
      </c>
    </row>
    <row r="5" spans="1:2" x14ac:dyDescent="0.25">
      <c r="A5" t="s">
        <v>41</v>
      </c>
      <c r="B5" s="14">
        <v>8.3144597999999998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Mylar Balloon</vt:lpstr>
      <vt:lpstr>Gas</vt:lpstr>
      <vt:lpstr>Constants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Clark</dc:creator>
  <cp:lastModifiedBy>Paul Clark</cp:lastModifiedBy>
  <dcterms:created xsi:type="dcterms:W3CDTF">2018-11-07T14:18:32Z</dcterms:created>
  <dcterms:modified xsi:type="dcterms:W3CDTF">2019-02-09T11:57:18Z</dcterms:modified>
</cp:coreProperties>
</file>